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firstSheet="1" activeTab="1"/>
  </bookViews>
  <sheets>
    <sheet name="model_comparison" sheetId="1" r:id="rId1"/>
    <sheet name="master_table" sheetId="3" r:id="rId2"/>
    <sheet name="fold_analysis_table" sheetId="2" r:id="rId3"/>
    <sheet name="Apple" sheetId="4" r:id="rId4"/>
  </sheets>
  <calcPr calcId="152511"/>
</workbook>
</file>

<file path=xl/calcChain.xml><?xml version="1.0" encoding="utf-8"?>
<calcChain xmlns="http://schemas.openxmlformats.org/spreadsheetml/2006/main">
  <c r="J6" i="3" l="1"/>
  <c r="J3" i="3"/>
  <c r="J4" i="3"/>
  <c r="J5" i="3"/>
  <c r="J2" i="3"/>
  <c r="G2" i="4"/>
  <c r="G3" i="4"/>
  <c r="G4" i="4"/>
  <c r="G5" i="4"/>
  <c r="G6" i="4"/>
  <c r="I2" i="3" l="1"/>
  <c r="I3" i="3"/>
  <c r="I4" i="3"/>
  <c r="I5" i="3"/>
  <c r="I6" i="3"/>
  <c r="H5" i="3"/>
  <c r="H6" i="3" l="1"/>
  <c r="F6" i="4" l="1"/>
  <c r="F5" i="4"/>
  <c r="F4" i="4"/>
  <c r="F3" i="4"/>
  <c r="F2" i="4"/>
  <c r="H3" i="3" l="1"/>
  <c r="H4" i="3"/>
  <c r="H2" i="3"/>
</calcChain>
</file>

<file path=xl/sharedStrings.xml><?xml version="1.0" encoding="utf-8"?>
<sst xmlns="http://schemas.openxmlformats.org/spreadsheetml/2006/main" count="218" uniqueCount="92">
  <si>
    <t>Model</t>
  </si>
  <si>
    <t>Linear Regression</t>
  </si>
  <si>
    <t>Decision Tree</t>
  </si>
  <si>
    <t>Random Forest</t>
  </si>
  <si>
    <t>Fold</t>
  </si>
  <si>
    <t>Test Period</t>
  </si>
  <si>
    <t>Sep 2015 – May 2017</t>
  </si>
  <si>
    <t>May 2017 – Jan 2019</t>
  </si>
  <si>
    <t>Jan 2019 – Aug 2020</t>
  </si>
  <si>
    <t>Sep 2020 – Apr 2022</t>
  </si>
  <si>
    <t>May 2022 – Dec 2023</t>
  </si>
  <si>
    <t>Average RMSE</t>
  </si>
  <si>
    <t>Random RMSE</t>
  </si>
  <si>
    <t>Time RMSE</t>
  </si>
  <si>
    <t>Walk RMSE</t>
  </si>
  <si>
    <t>XGBoost</t>
  </si>
  <si>
    <t>MLP</t>
  </si>
  <si>
    <t>LSTM Version</t>
  </si>
  <si>
    <t>Units</t>
  </si>
  <si>
    <t>RMSE</t>
  </si>
  <si>
    <t>R²</t>
  </si>
  <si>
    <t>Raw OHLCV</t>
  </si>
  <si>
    <t>Engineered Features</t>
  </si>
  <si>
    <t>Best RMSE</t>
  </si>
  <si>
    <t>Δ Random→Walk</t>
  </si>
  <si>
    <t>Raw LSTM</t>
  </si>
  <si>
    <t>—</t>
  </si>
  <si>
    <t>All Engineered Features LSTM</t>
  </si>
  <si>
    <t>Validation</t>
  </si>
  <si>
    <t>Max Prediction</t>
  </si>
  <si>
    <t>Max Actual</t>
  </si>
  <si>
    <t>Random</t>
  </si>
  <si>
    <t>Chronological</t>
  </si>
  <si>
    <t>(optional)</t>
  </si>
  <si>
    <t>Training Period</t>
  </si>
  <si>
    <t>2016–2017</t>
  </si>
  <si>
    <t>2016–2019</t>
  </si>
  <si>
    <t>2016–2021</t>
  </si>
  <si>
    <t>2016–2022</t>
  </si>
  <si>
    <t>2016–2024</t>
  </si>
  <si>
    <t>lr</t>
  </si>
  <si>
    <t>Linear RMSE</t>
  </si>
  <si>
    <t>Decision Tree RMSE</t>
  </si>
  <si>
    <t>rmse  by fold</t>
  </si>
  <si>
    <t>LR</t>
  </si>
  <si>
    <t>DT</t>
  </si>
  <si>
    <t>RF</t>
  </si>
  <si>
    <t>XGB</t>
  </si>
  <si>
    <t>wf comparison</t>
  </si>
  <si>
    <t>Average MAE</t>
  </si>
  <si>
    <t>Average R²</t>
  </si>
  <si>
    <t>-1.87*</t>
  </si>
  <si>
    <t>-0.85*</t>
  </si>
  <si>
    <t>-0.87*</t>
  </si>
  <si>
    <t>-1.17*</t>
  </si>
  <si>
    <t>Walk-forward</t>
  </si>
  <si>
    <t>random comparison</t>
  </si>
  <si>
    <t>MAE</t>
  </si>
  <si>
    <t>wf</t>
  </si>
  <si>
    <t>Mean RMSE</t>
  </si>
  <si>
    <t>Fold 1</t>
  </si>
  <si>
    <t>Fold 2</t>
  </si>
  <si>
    <t>Fold 3</t>
  </si>
  <si>
    <t>Fold 4</t>
  </si>
  <si>
    <t>Fold 5</t>
  </si>
  <si>
    <t>Good</t>
  </si>
  <si>
    <t>Very good</t>
  </si>
  <si>
    <t>Excellent</t>
  </si>
  <si>
    <t>Poor</t>
  </si>
  <si>
    <t>Dataset</t>
  </si>
  <si>
    <t>Raw 50-unit RMSE</t>
  </si>
  <si>
    <t>Engineered 50-unit RMSE</t>
  </si>
  <si>
    <t>Engineered 100-unit RMSE</t>
  </si>
  <si>
    <t>Netflix</t>
  </si>
  <si>
    <t>Apple</t>
  </si>
  <si>
    <t>lstm</t>
  </si>
  <si>
    <t>LSTM</t>
  </si>
  <si>
    <t>lstm wf</t>
  </si>
  <si>
    <t>Metric</t>
  </si>
  <si>
    <t>Final value</t>
  </si>
  <si>
    <t>Mean MAE</t>
  </si>
  <si>
    <t>Median RMSE</t>
  </si>
  <si>
    <t>RMSE SD</t>
  </si>
  <si>
    <t>Mean R²</t>
  </si>
  <si>
    <t>Walk Mean RMSE</t>
  </si>
  <si>
    <t>Walk Median RMSE</t>
  </si>
  <si>
    <t>An additional experiment using engineered technical indicators with the LSTM yielded a chronological RMSE of 31.13, substantially worse than the raw OHLCV LSTM (19.17). Because a walk-forward evaluation was not conducted for this configuration, it is excluded from the primary model comparison table.</t>
  </si>
  <si>
    <t>RMSE Increase (Walk − Random)</t>
  </si>
  <si>
    <t>Validation Inflation (%)</t>
  </si>
  <si>
    <t>Walk Forward rmse Std</t>
  </si>
  <si>
    <t>Overestimation Ratio (Walk/Random)</t>
  </si>
  <si>
    <t>-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</si>
</sst>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D6DEEB"/>
      <name val="Consolas"/>
      <family val="3"/>
    </font>
    <font>
      <i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3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2"/>
        <bgColor theme="5" tint="0.79998168889431442"/>
      </patternFill>
    </fill>
  </fills>
  <borders count="2">
    <border>
      <left/>
      <right/>
      <top/>
      <bottom/>
      <diagonal/>
    </border>
    <border>
      <left/>
      <right style="thin">
        <color theme="5" tint="0.39997558519241921"/>
      </right>
      <top style="thin">
        <color theme="5" tint="0.39997558519241921"/>
      </top>
      <bottom style="thin">
        <color theme="5" tint="0.3999755851924192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horizontal="right" vertical="center" wrapText="1"/>
    </xf>
    <xf numFmtId="0" fontId="1" fillId="0" borderId="0" xfId="0" applyFont="1" applyAlignment="1">
      <alignment horizontal="right" vertical="center" wrapText="1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0" xfId="0" applyFont="1"/>
    <xf numFmtId="0" fontId="3" fillId="0" borderId="0" xfId="0" applyFont="1" applyAlignment="1">
      <alignment horizontal="right" vertical="center" wrapText="1"/>
    </xf>
    <xf numFmtId="0" fontId="1" fillId="0" borderId="0" xfId="0" applyFont="1" applyAlignment="1">
      <alignment vertical="center" wrapText="1"/>
    </xf>
    <xf numFmtId="0" fontId="5" fillId="0" borderId="0" xfId="0" applyFont="1" applyAlignment="1">
      <alignment horizontal="right" vertical="center" wrapText="1"/>
    </xf>
    <xf numFmtId="2" fontId="6" fillId="0" borderId="0" xfId="0" applyNumberFormat="1" applyFont="1" applyAlignment="1">
      <alignment horizontal="right" vertical="center" wrapText="1"/>
    </xf>
    <xf numFmtId="2" fontId="6" fillId="0" borderId="0" xfId="0" applyNumberFormat="1" applyFont="1"/>
    <xf numFmtId="0" fontId="5" fillId="0" borderId="0" xfId="0" applyFont="1" applyAlignment="1">
      <alignment horizontal="center" vertical="center" wrapText="1"/>
    </xf>
    <xf numFmtId="0" fontId="6" fillId="0" borderId="0" xfId="0" applyFont="1" applyAlignment="1">
      <alignment vertical="center" wrapText="1"/>
    </xf>
    <xf numFmtId="0" fontId="4" fillId="0" borderId="0" xfId="0" applyFont="1" applyAlignment="1">
      <alignment horizontal="center"/>
    </xf>
    <xf numFmtId="0" fontId="7" fillId="2" borderId="1" xfId="0" applyFont="1" applyFill="1" applyBorder="1" applyAlignment="1">
      <alignment horizontal="right" vertical="center" wrapText="1"/>
    </xf>
    <xf numFmtId="0" fontId="0" fillId="3" borderId="1" xfId="0" applyFont="1" applyFill="1" applyBorder="1" applyAlignment="1">
      <alignment horizontal="right" vertical="center" wrapText="1"/>
    </xf>
    <xf numFmtId="0" fontId="0" fillId="0" borderId="1" xfId="0" applyFont="1" applyBorder="1" applyAlignment="1">
      <alignment horizontal="right" vertical="center" wrapText="1"/>
    </xf>
    <xf numFmtId="2" fontId="0" fillId="0" borderId="0" xfId="0" applyNumberFormat="1" applyFont="1"/>
    <xf numFmtId="2" fontId="0" fillId="0" borderId="0" xfId="0" applyNumberFormat="1" applyAlignment="1">
      <alignment horizontal="right" vertical="center" wrapText="1"/>
    </xf>
    <xf numFmtId="2" fontId="0" fillId="0" borderId="0" xfId="0" applyNumberFormat="1"/>
    <xf numFmtId="2" fontId="0" fillId="3" borderId="1" xfId="0" applyNumberFormat="1" applyFont="1" applyFill="1" applyBorder="1" applyAlignment="1">
      <alignment horizontal="right" vertical="center" wrapText="1"/>
    </xf>
  </cellXfs>
  <cellStyles count="1">
    <cellStyle name="Normal" xfId="0" builtinId="0"/>
  </cellStyles>
  <dxfs count="23"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numFmt numFmtId="2" formatCode="0.00"/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numFmt numFmtId="2" formatCode="0.00"/>
      <alignment horizontal="right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alignment horizontal="general" vertical="center" textRotation="0" wrapText="1" indent="0" justifyLastLine="0" shrinkToFit="0" readingOrder="0"/>
    </dxf>
    <dxf>
      <font>
        <strike val="0"/>
        <outline val="0"/>
        <shadow val="0"/>
        <u val="none"/>
        <vertAlign val="baseline"/>
        <sz val="13"/>
        <color theme="1"/>
        <name val="Calibri"/>
        <scheme val="minor"/>
      </font>
      <alignment horizontal="right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3"/>
        <color theme="1"/>
        <name val="Calibri"/>
        <scheme val="minor"/>
      </font>
      <alignment horizontal="right" vertical="center" textRotation="0" wrapText="1" indent="0" justifyLastLine="0" shrinkToFit="0" readingOrder="0"/>
    </dxf>
    <dxf>
      <alignment horizontal="right" vertical="center" textRotation="0" wrapText="1" indent="0" justifyLastLine="0" shrinkToFit="0" readingOrder="0"/>
    </dxf>
    <dxf>
      <alignment horizontal="general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right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id="2" name="Table2" displayName="Table2" ref="E9:H12" totalsRowShown="0" headerRowDxfId="22">
  <autoFilter ref="E9:H12"/>
  <tableColumns count="4">
    <tableColumn id="1" name="LSTM Version" dataDxfId="21"/>
    <tableColumn id="2" name="Units" dataDxfId="20"/>
    <tableColumn id="3" name="RMSE"/>
    <tableColumn id="4" name="R²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1" name="Table1" displayName="Table1" ref="A1:I7" totalsRowShown="0" headerRowDxfId="19" dataDxfId="18">
  <autoFilter ref="A1:I7"/>
  <tableColumns count="9">
    <tableColumn id="1" name="Model" dataDxfId="17"/>
    <tableColumn id="2" name="Random RMSE" dataDxfId="16"/>
    <tableColumn id="3" name="Time RMSE" dataDxfId="15"/>
    <tableColumn id="4" name="Walk Mean RMSE" dataDxfId="14"/>
    <tableColumn id="5" name="Best RMSE" dataDxfId="13"/>
    <tableColumn id="7" name="Walk Median RMSE" dataDxfId="12"/>
    <tableColumn id="8" name="Walk Forward rmse Std" dataDxfId="11"/>
    <tableColumn id="9" name="RMSE Increase (Walk − Random)" dataDxfId="10">
      <calculatedColumnFormula>ABS(B2-D2)</calculatedColumnFormula>
    </tableColumn>
    <tableColumn id="10" name="Validation Inflation (%)" dataDxfId="9">
      <calculatedColumnFormula>((Table1[[#This Row],[Walk Mean RMSE]]-Table1[[#This Row],[Random RMSE]])/Table1[[#This Row],[Random RMSE]])*100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4" name="Table15" displayName="Table15" ref="A1:G8" totalsRowShown="0" headerRowDxfId="8" dataDxfId="7">
  <autoFilter ref="A1:G8"/>
  <tableColumns count="7">
    <tableColumn id="1" name="Model" dataDxfId="6"/>
    <tableColumn id="2" name="Random RMSE" dataDxfId="5"/>
    <tableColumn id="3" name="Time RMSE" dataDxfId="4"/>
    <tableColumn id="4" name="Walk RMSE" dataDxfId="3"/>
    <tableColumn id="5" name="Best RMSE" dataDxfId="2"/>
    <tableColumn id="6" name="Δ Random→Walk" dataDxfId="1"/>
    <tableColumn id="7" name="Overestimation Ratio (Walk/Random)" dataDxfId="0">
      <calculatedColumnFormula>(Table15[[#This Row],[Walk RMSE]]/Table15[[#This Row],[Random RMSE]])</calculatedColumnFormula>
    </tableColumn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2"/>
  <sheetViews>
    <sheetView workbookViewId="0">
      <selection sqref="A1:D6"/>
    </sheetView>
  </sheetViews>
  <sheetFormatPr defaultRowHeight="14.4" x14ac:dyDescent="0.3"/>
  <cols>
    <col min="1" max="1" width="13.33203125" customWidth="1"/>
    <col min="2" max="2" width="11.6640625" customWidth="1"/>
    <col min="3" max="3" width="13.109375" customWidth="1"/>
    <col min="4" max="4" width="20" customWidth="1"/>
    <col min="5" max="5" width="16.21875" customWidth="1"/>
    <col min="6" max="6" width="16.5546875" customWidth="1"/>
    <col min="7" max="7" width="12.6640625" customWidth="1"/>
    <col min="8" max="8" width="13.33203125" customWidth="1"/>
  </cols>
  <sheetData>
    <row r="1" spans="1:8" ht="28.8" x14ac:dyDescent="0.3">
      <c r="A1" s="1" t="s">
        <v>0</v>
      </c>
      <c r="B1" s="3" t="s">
        <v>12</v>
      </c>
      <c r="C1" s="3" t="s">
        <v>13</v>
      </c>
      <c r="D1" s="3" t="s">
        <v>14</v>
      </c>
    </row>
    <row r="2" spans="1:8" ht="28.8" x14ac:dyDescent="0.3">
      <c r="A2" s="4" t="s">
        <v>1</v>
      </c>
      <c r="B2" s="2">
        <v>8.35</v>
      </c>
      <c r="C2" s="2">
        <v>12.3</v>
      </c>
      <c r="D2" s="2">
        <v>8.69</v>
      </c>
    </row>
    <row r="3" spans="1:8" x14ac:dyDescent="0.3">
      <c r="A3" s="4" t="s">
        <v>2</v>
      </c>
      <c r="B3" s="2">
        <v>12.77</v>
      </c>
      <c r="C3" s="2">
        <v>29.23</v>
      </c>
      <c r="D3" s="2">
        <v>53.94</v>
      </c>
    </row>
    <row r="4" spans="1:8" ht="28.8" x14ac:dyDescent="0.3">
      <c r="A4" s="4" t="s">
        <v>3</v>
      </c>
      <c r="B4" s="2">
        <v>9.1300000000000008</v>
      </c>
      <c r="C4" s="2">
        <v>16.809999999999999</v>
      </c>
      <c r="D4" s="2">
        <v>48.65</v>
      </c>
    </row>
    <row r="5" spans="1:8" x14ac:dyDescent="0.3">
      <c r="A5" s="4" t="s">
        <v>15</v>
      </c>
      <c r="B5" s="2">
        <v>10</v>
      </c>
      <c r="C5" s="2">
        <v>23.82</v>
      </c>
      <c r="D5" s="2">
        <v>51.97</v>
      </c>
    </row>
    <row r="6" spans="1:8" x14ac:dyDescent="0.3">
      <c r="A6" s="4" t="s">
        <v>16</v>
      </c>
      <c r="B6" s="2">
        <v>9.1199999999999992</v>
      </c>
      <c r="C6" s="2">
        <v>30.58</v>
      </c>
      <c r="D6" s="2">
        <v>26.1</v>
      </c>
    </row>
    <row r="9" spans="1:8" x14ac:dyDescent="0.3">
      <c r="E9" s="1" t="s">
        <v>17</v>
      </c>
      <c r="F9" s="3" t="s">
        <v>18</v>
      </c>
      <c r="G9" s="3" t="s">
        <v>19</v>
      </c>
      <c r="H9" s="3" t="s">
        <v>20</v>
      </c>
    </row>
    <row r="10" spans="1:8" x14ac:dyDescent="0.3">
      <c r="E10" s="4" t="s">
        <v>21</v>
      </c>
      <c r="F10" s="2">
        <v>50</v>
      </c>
      <c r="G10" s="2">
        <v>19.940000000000001</v>
      </c>
      <c r="H10" s="2">
        <v>0.95089999999999997</v>
      </c>
    </row>
    <row r="11" spans="1:8" ht="28.8" x14ac:dyDescent="0.3">
      <c r="E11" s="4" t="s">
        <v>22</v>
      </c>
      <c r="F11" s="2">
        <v>50</v>
      </c>
      <c r="G11" s="2">
        <v>41.36</v>
      </c>
      <c r="H11" s="2">
        <v>0.78859999999999997</v>
      </c>
    </row>
    <row r="12" spans="1:8" ht="28.8" x14ac:dyDescent="0.3">
      <c r="E12" s="4" t="s">
        <v>22</v>
      </c>
      <c r="F12" s="2">
        <v>100</v>
      </c>
      <c r="G12" s="3">
        <v>29.4</v>
      </c>
      <c r="H12" s="3">
        <v>0.89319999999999999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5"/>
  <sheetViews>
    <sheetView tabSelected="1" zoomScale="65" zoomScaleNormal="55" workbookViewId="0">
      <selection activeCell="J6" sqref="J6"/>
    </sheetView>
  </sheetViews>
  <sheetFormatPr defaultRowHeight="14.4" x14ac:dyDescent="0.3"/>
  <cols>
    <col min="1" max="1" width="20.21875" customWidth="1"/>
    <col min="2" max="2" width="21.88671875" customWidth="1"/>
    <col min="3" max="3" width="13.77734375" customWidth="1"/>
    <col min="4" max="4" width="15.5546875" customWidth="1"/>
    <col min="5" max="5" width="13.33203125" customWidth="1"/>
    <col min="6" max="6" width="17.88671875" customWidth="1"/>
    <col min="7" max="7" width="23.77734375" customWidth="1"/>
    <col min="8" max="8" width="25.109375" customWidth="1"/>
    <col min="9" max="9" width="35" customWidth="1"/>
    <col min="10" max="10" width="26.88671875" customWidth="1"/>
  </cols>
  <sheetData>
    <row r="1" spans="1:22" ht="43.2" x14ac:dyDescent="0.3">
      <c r="A1" s="12" t="s">
        <v>0</v>
      </c>
      <c r="B1" s="9" t="s">
        <v>12</v>
      </c>
      <c r="C1" s="9" t="s">
        <v>13</v>
      </c>
      <c r="D1" s="9" t="s">
        <v>84</v>
      </c>
      <c r="E1" s="9" t="s">
        <v>23</v>
      </c>
      <c r="F1" s="9" t="s">
        <v>85</v>
      </c>
      <c r="G1" s="9" t="s">
        <v>89</v>
      </c>
      <c r="H1" s="9" t="s">
        <v>87</v>
      </c>
      <c r="I1" s="9" t="s">
        <v>88</v>
      </c>
      <c r="J1" s="15" t="s">
        <v>90</v>
      </c>
    </row>
    <row r="2" spans="1:22" ht="22.2" customHeight="1" x14ac:dyDescent="0.3">
      <c r="A2" s="13" t="s">
        <v>1</v>
      </c>
      <c r="B2" s="10">
        <v>8.6024774970882891</v>
      </c>
      <c r="C2" s="10">
        <v>12.8340994729757</v>
      </c>
      <c r="D2" s="10">
        <v>10.260938786791</v>
      </c>
      <c r="E2" s="10">
        <v>8.6024774970882891</v>
      </c>
      <c r="F2" s="10">
        <v>10.189660346687999</v>
      </c>
      <c r="G2" s="10">
        <v>2.8075293782237498</v>
      </c>
      <c r="H2" s="10">
        <f>ABS(B2-D2)</f>
        <v>1.6584612897027107</v>
      </c>
      <c r="I2" s="10">
        <f>((Table1[[#This Row],[Walk Mean RMSE]]-Table1[[#This Row],[Random RMSE]])/Table1[[#This Row],[Random RMSE]])*100</f>
        <v>19.278879721150748</v>
      </c>
      <c r="J2" s="16">
        <f>(Table1[[#This Row],[Walk Mean RMSE]]/Table1[[#This Row],[Random RMSE]])</f>
        <v>1.1927887972115074</v>
      </c>
    </row>
    <row r="3" spans="1:22" ht="27.6" customHeight="1" x14ac:dyDescent="0.3">
      <c r="A3" s="13" t="s">
        <v>2</v>
      </c>
      <c r="B3" s="10">
        <v>12.767838034677199</v>
      </c>
      <c r="C3" s="10">
        <v>29.230835798083699</v>
      </c>
      <c r="D3" s="10">
        <v>53.940100130441003</v>
      </c>
      <c r="E3" s="10">
        <v>12.767838034677199</v>
      </c>
      <c r="F3" s="10">
        <v>48.054992756353201</v>
      </c>
      <c r="G3" s="10">
        <v>43.789690841114997</v>
      </c>
      <c r="H3" s="10">
        <f>ABS(B3-D3)</f>
        <v>41.172262095763806</v>
      </c>
      <c r="I3" s="10">
        <f>((Table1[[#This Row],[Walk Mean RMSE]]-Table1[[#This Row],[Random RMSE]])/Table1[[#This Row],[Random RMSE]])*100</f>
        <v>322.46854936552876</v>
      </c>
      <c r="J3" s="16">
        <f>(Table1[[#This Row],[Walk Mean RMSE]]/Table1[[#This Row],[Random RMSE]])</f>
        <v>4.2246854936552882</v>
      </c>
    </row>
    <row r="4" spans="1:22" ht="23.4" customHeight="1" x14ac:dyDescent="0.3">
      <c r="A4" s="13" t="s">
        <v>3</v>
      </c>
      <c r="B4" s="10">
        <v>9.1270676133805697</v>
      </c>
      <c r="C4" s="10">
        <v>16.8106414161781</v>
      </c>
      <c r="D4" s="10">
        <v>48.6558650628793</v>
      </c>
      <c r="E4" s="10">
        <v>9.1270676133805697</v>
      </c>
      <c r="F4" s="10">
        <v>36.949904429406899</v>
      </c>
      <c r="G4" s="10">
        <v>44.697451073118103</v>
      </c>
      <c r="H4" s="10">
        <f>ABS(B4-D4)</f>
        <v>39.528797449498732</v>
      </c>
      <c r="I4" s="10">
        <f>((Table1[[#This Row],[Walk Mean RMSE]]-Table1[[#This Row],[Random RMSE]])/Table1[[#This Row],[Random RMSE]])*100</f>
        <v>433.09416697591087</v>
      </c>
      <c r="J4" s="16">
        <f>(Table1[[#This Row],[Walk Mean RMSE]]/Table1[[#This Row],[Random RMSE]])</f>
        <v>5.3309416697591088</v>
      </c>
    </row>
    <row r="5" spans="1:22" ht="23.4" customHeight="1" x14ac:dyDescent="0.3">
      <c r="A5" s="13" t="s">
        <v>15</v>
      </c>
      <c r="B5" s="10">
        <v>9.4238145778730598</v>
      </c>
      <c r="C5" s="10">
        <v>23.066939177986001</v>
      </c>
      <c r="D5" s="10">
        <v>51.9654495245303</v>
      </c>
      <c r="E5" s="10">
        <v>9.4238145778730598</v>
      </c>
      <c r="F5" s="10">
        <v>44.272708423711201</v>
      </c>
      <c r="G5" s="10">
        <v>43.937501884618399</v>
      </c>
      <c r="H5" s="10">
        <f>ABS(B5-D5)</f>
        <v>42.54163494665724</v>
      </c>
      <c r="I5" s="10">
        <f>((Table1[[#This Row],[Walk Mean RMSE]]-Table1[[#This Row],[Random RMSE]])/Table1[[#This Row],[Random RMSE]])*100</f>
        <v>451.42690993246202</v>
      </c>
      <c r="J5" s="16">
        <f>(Table1[[#This Row],[Walk Mean RMSE]]/Table1[[#This Row],[Random RMSE]])</f>
        <v>5.5142690993246202</v>
      </c>
    </row>
    <row r="6" spans="1:22" ht="21" customHeight="1" x14ac:dyDescent="0.3">
      <c r="A6" s="13" t="s">
        <v>16</v>
      </c>
      <c r="B6" s="10">
        <v>9.1194110478356905</v>
      </c>
      <c r="C6" s="10">
        <v>30.5753313206352</v>
      </c>
      <c r="D6" s="10">
        <v>26.099956053911399</v>
      </c>
      <c r="E6" s="10">
        <v>9.1199999999999992</v>
      </c>
      <c r="F6" s="10">
        <v>25.619568462923901</v>
      </c>
      <c r="G6" s="10">
        <v>13.452844792569</v>
      </c>
      <c r="H6" s="10">
        <f>ABS(B6-D6)</f>
        <v>16.980545006075708</v>
      </c>
      <c r="I6" s="10">
        <f>((Table1[[#This Row],[Walk Mean RMSE]]-Table1[[#This Row],[Random RMSE]])/Table1[[#This Row],[Random RMSE]])*100</f>
        <v>186.20221105293527</v>
      </c>
      <c r="J6" s="21">
        <f>(Table1[[#This Row],[Walk Mean RMSE]]/Table1[[#This Row],[Random RMSE]])</f>
        <v>2.8620221105293528</v>
      </c>
    </row>
    <row r="7" spans="1:22" ht="26.4" customHeight="1" x14ac:dyDescent="0.35">
      <c r="A7" s="13" t="s">
        <v>25</v>
      </c>
      <c r="B7" s="10" t="s">
        <v>26</v>
      </c>
      <c r="C7" s="10">
        <v>19.173602731126401</v>
      </c>
      <c r="D7" s="11">
        <v>38.226916018566698</v>
      </c>
      <c r="E7" s="10">
        <v>19.173602731126401</v>
      </c>
      <c r="F7" s="11">
        <v>17.482276355088999</v>
      </c>
      <c r="G7" s="10">
        <v>38.426114269864399</v>
      </c>
      <c r="H7" s="10" t="s">
        <v>26</v>
      </c>
      <c r="I7" s="10" t="s">
        <v>26</v>
      </c>
      <c r="J7" s="17" t="s">
        <v>91</v>
      </c>
    </row>
    <row r="8" spans="1:22" x14ac:dyDescent="0.3">
      <c r="J8" s="16" t="s">
        <v>91</v>
      </c>
    </row>
    <row r="10" spans="1:22" ht="15.6" x14ac:dyDescent="0.3">
      <c r="A10" s="14" t="s">
        <v>86</v>
      </c>
      <c r="B10" s="14"/>
      <c r="C10" s="14"/>
      <c r="D10" s="14"/>
      <c r="E10" s="14"/>
      <c r="F10" s="14"/>
      <c r="G10" s="14"/>
      <c r="H10" s="14"/>
      <c r="I10" s="14"/>
      <c r="J10" s="14"/>
      <c r="K10" s="14"/>
      <c r="L10" s="14"/>
      <c r="M10" s="14"/>
      <c r="N10" s="14"/>
      <c r="O10" s="14"/>
      <c r="P10" s="14"/>
      <c r="Q10" s="14"/>
      <c r="R10" s="14"/>
      <c r="S10" s="14"/>
      <c r="T10" s="14"/>
      <c r="U10" s="14"/>
      <c r="V10" s="14"/>
    </row>
    <row r="13" spans="1:22" x14ac:dyDescent="0.3">
      <c r="D13" s="5"/>
    </row>
    <row r="15" spans="1:22" x14ac:dyDescent="0.3">
      <c r="D15" s="6"/>
    </row>
  </sheetData>
  <mergeCells count="1">
    <mergeCell ref="A10:V10"/>
  </mergeCell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4"/>
  <sheetViews>
    <sheetView topLeftCell="B1" zoomScale="67" workbookViewId="0">
      <selection activeCell="C17" sqref="C17"/>
    </sheetView>
  </sheetViews>
  <sheetFormatPr defaultRowHeight="14.4" x14ac:dyDescent="0.3"/>
  <cols>
    <col min="1" max="1" width="17.109375" customWidth="1"/>
    <col min="2" max="2" width="24.21875" customWidth="1"/>
    <col min="3" max="3" width="30" customWidth="1"/>
    <col min="4" max="4" width="25.33203125" customWidth="1"/>
    <col min="5" max="5" width="26.5546875" customWidth="1"/>
  </cols>
  <sheetData>
    <row r="1" spans="1:5" x14ac:dyDescent="0.3">
      <c r="A1" s="1" t="s">
        <v>4</v>
      </c>
      <c r="B1" s="1" t="s">
        <v>5</v>
      </c>
      <c r="C1" s="3" t="s">
        <v>1</v>
      </c>
      <c r="D1" s="3" t="s">
        <v>2</v>
      </c>
      <c r="E1" s="3" t="s">
        <v>3</v>
      </c>
    </row>
    <row r="2" spans="1:5" x14ac:dyDescent="0.3">
      <c r="A2" s="4">
        <v>1</v>
      </c>
      <c r="B2" s="4" t="s">
        <v>6</v>
      </c>
      <c r="C2" s="2">
        <v>3.05</v>
      </c>
      <c r="D2" s="2">
        <v>12.8</v>
      </c>
      <c r="E2" s="2">
        <v>13.47</v>
      </c>
    </row>
    <row r="3" spans="1:5" x14ac:dyDescent="0.3">
      <c r="A3" s="4">
        <v>2</v>
      </c>
      <c r="B3" s="4" t="s">
        <v>7</v>
      </c>
      <c r="C3" s="2">
        <v>7.51</v>
      </c>
      <c r="D3" s="3">
        <v>133.54</v>
      </c>
      <c r="E3" s="3">
        <v>133.31</v>
      </c>
    </row>
    <row r="4" spans="1:5" x14ac:dyDescent="0.3">
      <c r="A4" s="4">
        <v>3</v>
      </c>
      <c r="B4" s="4" t="s">
        <v>8</v>
      </c>
      <c r="C4" s="2">
        <v>9.76</v>
      </c>
      <c r="D4" s="2">
        <v>48.05</v>
      </c>
      <c r="E4" s="2">
        <v>36.94</v>
      </c>
    </row>
    <row r="5" spans="1:5" x14ac:dyDescent="0.3">
      <c r="A5" s="4">
        <v>4</v>
      </c>
      <c r="B5" s="4" t="s">
        <v>9</v>
      </c>
      <c r="C5" s="2">
        <v>14.22</v>
      </c>
      <c r="D5" s="2">
        <v>59.95</v>
      </c>
      <c r="E5" s="2">
        <v>48.92</v>
      </c>
    </row>
    <row r="6" spans="1:5" x14ac:dyDescent="0.3">
      <c r="A6" s="4">
        <v>5</v>
      </c>
      <c r="B6" s="4" t="s">
        <v>10</v>
      </c>
      <c r="C6" s="2">
        <v>8.91</v>
      </c>
      <c r="D6" s="2">
        <v>15.36</v>
      </c>
      <c r="E6" s="2">
        <v>10.62</v>
      </c>
    </row>
    <row r="11" spans="1:5" x14ac:dyDescent="0.3">
      <c r="A11" s="1" t="s">
        <v>0</v>
      </c>
      <c r="B11" s="3" t="s">
        <v>11</v>
      </c>
    </row>
    <row r="12" spans="1:5" x14ac:dyDescent="0.3">
      <c r="A12" s="4" t="s">
        <v>1</v>
      </c>
      <c r="B12" s="2">
        <v>8.69</v>
      </c>
    </row>
    <row r="13" spans="1:5" x14ac:dyDescent="0.3">
      <c r="A13" s="4" t="s">
        <v>3</v>
      </c>
      <c r="B13" s="2">
        <v>48.65</v>
      </c>
    </row>
    <row r="14" spans="1:5" x14ac:dyDescent="0.3">
      <c r="A14" s="4" t="s">
        <v>2</v>
      </c>
      <c r="B14" s="2">
        <v>53.94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Y44"/>
  <sheetViews>
    <sheetView zoomScale="78" workbookViewId="0">
      <selection activeCell="J4" sqref="J4"/>
    </sheetView>
  </sheetViews>
  <sheetFormatPr defaultRowHeight="14.4" x14ac:dyDescent="0.3"/>
  <cols>
    <col min="1" max="1" width="10.88671875" bestFit="1" customWidth="1"/>
    <col min="2" max="2" width="15.44140625" customWidth="1"/>
    <col min="3" max="3" width="14.88671875" customWidth="1"/>
    <col min="4" max="4" width="14.21875" customWidth="1"/>
    <col min="5" max="5" width="13.77734375" customWidth="1"/>
    <col min="6" max="6" width="15" customWidth="1"/>
    <col min="7" max="7" width="23.33203125" customWidth="1"/>
    <col min="9" max="9" width="7" customWidth="1"/>
    <col min="10" max="10" width="13.21875" customWidth="1"/>
    <col min="11" max="11" width="12.88671875" customWidth="1"/>
    <col min="12" max="12" width="15.44140625" customWidth="1"/>
    <col min="13" max="13" width="13.33203125" customWidth="1"/>
    <col min="14" max="14" width="14.6640625" customWidth="1"/>
    <col min="15" max="15" width="10.88671875" customWidth="1"/>
    <col min="24" max="24" width="12.21875" bestFit="1" customWidth="1"/>
    <col min="25" max="25" width="9.77734375" bestFit="1" customWidth="1"/>
  </cols>
  <sheetData>
    <row r="1" spans="1:21" ht="57.6" x14ac:dyDescent="0.3">
      <c r="A1" s="1" t="s">
        <v>0</v>
      </c>
      <c r="B1" s="3" t="s">
        <v>12</v>
      </c>
      <c r="C1" s="3" t="s">
        <v>13</v>
      </c>
      <c r="D1" s="3" t="s">
        <v>14</v>
      </c>
      <c r="E1" s="3" t="s">
        <v>23</v>
      </c>
      <c r="F1" s="3" t="s">
        <v>24</v>
      </c>
      <c r="G1" s="3" t="s">
        <v>90</v>
      </c>
    </row>
    <row r="2" spans="1:21" ht="28.8" x14ac:dyDescent="0.3">
      <c r="A2" s="4" t="s">
        <v>1</v>
      </c>
      <c r="B2" s="18">
        <v>4.4495586506269298</v>
      </c>
      <c r="C2" s="18">
        <v>7.3314479275857503</v>
      </c>
      <c r="D2" s="19">
        <v>18.0317123755285</v>
      </c>
      <c r="E2" s="18">
        <v>4.4495586506269298</v>
      </c>
      <c r="F2" s="19">
        <f>ABS(B2-D2)</f>
        <v>13.58215372490157</v>
      </c>
      <c r="G2" s="19">
        <f>(Table15[[#This Row],[Walk RMSE]]/Table15[[#This Row],[Random RMSE]])</f>
        <v>4.0524721194511919</v>
      </c>
    </row>
    <row r="3" spans="1:21" ht="28.8" x14ac:dyDescent="0.3">
      <c r="A3" s="4" t="s">
        <v>2</v>
      </c>
      <c r="B3" s="18">
        <v>3.3807335861675001</v>
      </c>
      <c r="C3" s="18">
        <v>35.8586877169991</v>
      </c>
      <c r="D3" s="19">
        <v>23.673396335962298</v>
      </c>
      <c r="E3" s="18">
        <v>3.3807335861675001</v>
      </c>
      <c r="F3" s="19">
        <f t="shared" ref="F3:F6" si="0">ABS(B3-D3)</f>
        <v>20.292662749794797</v>
      </c>
      <c r="G3" s="19">
        <f>(Table15[[#This Row],[Walk RMSE]]/Table15[[#This Row],[Random RMSE]])</f>
        <v>7.0024436213559094</v>
      </c>
    </row>
    <row r="4" spans="1:21" ht="28.8" x14ac:dyDescent="0.3">
      <c r="A4" s="4" t="s">
        <v>3</v>
      </c>
      <c r="B4" s="18">
        <v>2.71393967817533</v>
      </c>
      <c r="C4" s="18">
        <v>37.102660473070898</v>
      </c>
      <c r="D4" s="19">
        <v>24.0148788733574</v>
      </c>
      <c r="E4" s="18">
        <v>2.71393967817533</v>
      </c>
      <c r="F4" s="19">
        <f t="shared" si="0"/>
        <v>21.300939195182071</v>
      </c>
      <c r="G4" s="19">
        <f>(Table15[[#This Row],[Walk RMSE]]/Table15[[#This Row],[Random RMSE]])</f>
        <v>8.8487150493718367</v>
      </c>
    </row>
    <row r="5" spans="1:21" x14ac:dyDescent="0.3">
      <c r="A5" s="4" t="s">
        <v>15</v>
      </c>
      <c r="B5" s="19">
        <v>2.9195659452826801</v>
      </c>
      <c r="C5" s="19">
        <v>40.547192929993699</v>
      </c>
      <c r="D5" s="19">
        <v>26.210680113662701</v>
      </c>
      <c r="E5" s="19">
        <v>9.4238145778730598</v>
      </c>
      <c r="F5" s="19">
        <f t="shared" si="0"/>
        <v>23.29111416838002</v>
      </c>
      <c r="G5" s="19">
        <f>(Table15[[#This Row],[Walk RMSE]]/Table15[[#This Row],[Random RMSE]])</f>
        <v>8.9775948222758544</v>
      </c>
    </row>
    <row r="6" spans="1:21" x14ac:dyDescent="0.3">
      <c r="A6" s="4" t="s">
        <v>16</v>
      </c>
      <c r="B6" s="19">
        <v>2.7944868472688298</v>
      </c>
      <c r="C6" s="19">
        <v>4.9839904635054904</v>
      </c>
      <c r="D6" s="18">
        <v>9.9364874466985498</v>
      </c>
      <c r="E6" s="19">
        <v>2.7944868472688298</v>
      </c>
      <c r="F6" s="19">
        <f t="shared" si="0"/>
        <v>7.1420005994297195</v>
      </c>
      <c r="G6" s="19">
        <f>(Table15[[#This Row],[Walk RMSE]]/Table15[[#This Row],[Random RMSE]])</f>
        <v>3.555746721946428</v>
      </c>
    </row>
    <row r="7" spans="1:21" x14ac:dyDescent="0.3">
      <c r="A7" s="4" t="s">
        <v>25</v>
      </c>
      <c r="B7" s="19" t="s">
        <v>26</v>
      </c>
      <c r="C7" s="19">
        <v>19.940000000000001</v>
      </c>
      <c r="D7" s="18">
        <v>57.832911911225601</v>
      </c>
      <c r="E7" s="19">
        <v>19.940000000000001</v>
      </c>
      <c r="F7" s="18" t="s">
        <v>91</v>
      </c>
      <c r="G7" s="19" t="s">
        <v>91</v>
      </c>
    </row>
    <row r="8" spans="1:21" ht="57.6" x14ac:dyDescent="0.3">
      <c r="A8" s="4" t="s">
        <v>27</v>
      </c>
      <c r="B8" s="20"/>
      <c r="C8" s="20">
        <v>29.3986012905469</v>
      </c>
      <c r="D8" s="20"/>
      <c r="E8" s="20"/>
      <c r="F8" s="20"/>
      <c r="G8" s="19" t="s">
        <v>91</v>
      </c>
    </row>
    <row r="9" spans="1:21" x14ac:dyDescent="0.3">
      <c r="A9" s="1"/>
      <c r="B9" s="3"/>
      <c r="C9" s="3"/>
      <c r="D9" s="3"/>
      <c r="E9" s="3"/>
      <c r="F9" s="3"/>
    </row>
    <row r="10" spans="1:21" x14ac:dyDescent="0.3">
      <c r="A10" s="4"/>
      <c r="B10" s="2"/>
      <c r="C10" s="2"/>
      <c r="D10" s="2"/>
      <c r="E10" s="2"/>
      <c r="F10" s="2"/>
      <c r="I10" t="s">
        <v>40</v>
      </c>
    </row>
    <row r="11" spans="1:21" ht="28.8" x14ac:dyDescent="0.3">
      <c r="A11" s="1" t="s">
        <v>0</v>
      </c>
      <c r="B11" s="1" t="s">
        <v>28</v>
      </c>
      <c r="C11" s="3" t="s">
        <v>19</v>
      </c>
      <c r="D11" s="3" t="s">
        <v>20</v>
      </c>
      <c r="E11" s="3" t="s">
        <v>29</v>
      </c>
      <c r="F11" s="3" t="s">
        <v>30</v>
      </c>
      <c r="I11" s="1" t="s">
        <v>4</v>
      </c>
      <c r="J11" s="1" t="s">
        <v>34</v>
      </c>
      <c r="K11" s="3" t="s">
        <v>19</v>
      </c>
      <c r="L11" s="3" t="s">
        <v>20</v>
      </c>
    </row>
    <row r="12" spans="1:21" ht="28.8" x14ac:dyDescent="0.3">
      <c r="A12" s="4" t="s">
        <v>1</v>
      </c>
      <c r="B12" s="4" t="s">
        <v>31</v>
      </c>
      <c r="C12" s="2">
        <v>4.45</v>
      </c>
      <c r="D12" s="2">
        <v>0.99619999999999997</v>
      </c>
      <c r="E12" s="2" t="s">
        <v>26</v>
      </c>
      <c r="F12" s="2" t="s">
        <v>26</v>
      </c>
      <c r="I12" s="4">
        <v>1</v>
      </c>
      <c r="J12" s="4" t="s">
        <v>35</v>
      </c>
      <c r="K12" s="2">
        <v>14.64</v>
      </c>
      <c r="L12" s="2">
        <v>-8.6300000000000008</v>
      </c>
    </row>
    <row r="13" spans="1:21" ht="28.8" x14ac:dyDescent="0.3">
      <c r="A13" s="4" t="s">
        <v>1</v>
      </c>
      <c r="B13" s="4" t="s">
        <v>32</v>
      </c>
      <c r="C13" s="2">
        <v>7.33</v>
      </c>
      <c r="D13" s="2">
        <v>0.93340000000000001</v>
      </c>
      <c r="E13" s="7" t="s">
        <v>33</v>
      </c>
      <c r="F13" s="2">
        <v>286.19</v>
      </c>
      <c r="I13" s="4">
        <v>2</v>
      </c>
      <c r="J13" s="4" t="s">
        <v>36</v>
      </c>
      <c r="K13" s="2">
        <v>56.38</v>
      </c>
      <c r="L13" s="2">
        <v>-3.36</v>
      </c>
    </row>
    <row r="14" spans="1:21" ht="28.8" x14ac:dyDescent="0.3">
      <c r="A14" s="4" t="s">
        <v>2</v>
      </c>
      <c r="B14" s="4" t="s">
        <v>31</v>
      </c>
      <c r="C14" s="2">
        <v>3.38</v>
      </c>
      <c r="D14" s="2">
        <v>0.99780000000000002</v>
      </c>
      <c r="E14" s="2" t="s">
        <v>26</v>
      </c>
      <c r="F14" s="2" t="s">
        <v>26</v>
      </c>
      <c r="I14" s="4">
        <v>3</v>
      </c>
      <c r="J14" s="4" t="s">
        <v>37</v>
      </c>
      <c r="K14" s="2">
        <v>6.46</v>
      </c>
      <c r="L14" s="2">
        <v>0.83199999999999996</v>
      </c>
      <c r="O14" t="s">
        <v>58</v>
      </c>
    </row>
    <row r="15" spans="1:21" ht="28.8" x14ac:dyDescent="0.3">
      <c r="A15" s="4" t="s">
        <v>2</v>
      </c>
      <c r="B15" s="4" t="s">
        <v>32</v>
      </c>
      <c r="C15" s="2">
        <v>35.86</v>
      </c>
      <c r="D15" s="2">
        <v>-0.59409999999999996</v>
      </c>
      <c r="E15" s="3">
        <v>195.72</v>
      </c>
      <c r="F15" s="3">
        <v>286.19</v>
      </c>
      <c r="I15" s="4">
        <v>4</v>
      </c>
      <c r="J15" s="4" t="s">
        <v>38</v>
      </c>
      <c r="K15" s="2">
        <v>4.83</v>
      </c>
      <c r="L15" s="2">
        <v>0.93200000000000005</v>
      </c>
      <c r="O15" s="1" t="s">
        <v>0</v>
      </c>
      <c r="P15" s="3" t="s">
        <v>59</v>
      </c>
      <c r="Q15" s="3" t="s">
        <v>60</v>
      </c>
      <c r="R15" s="3" t="s">
        <v>61</v>
      </c>
      <c r="S15" s="3" t="s">
        <v>62</v>
      </c>
      <c r="T15" s="3" t="s">
        <v>63</v>
      </c>
      <c r="U15" s="3" t="s">
        <v>64</v>
      </c>
    </row>
    <row r="16" spans="1:21" ht="28.8" x14ac:dyDescent="0.3">
      <c r="A16" s="4" t="s">
        <v>3</v>
      </c>
      <c r="B16" s="4" t="s">
        <v>31</v>
      </c>
      <c r="C16" s="2">
        <v>2.71</v>
      </c>
      <c r="D16" s="2">
        <v>0.99860000000000004</v>
      </c>
      <c r="E16" s="2" t="s">
        <v>26</v>
      </c>
      <c r="F16" s="2" t="s">
        <v>26</v>
      </c>
      <c r="I16" s="4">
        <v>5</v>
      </c>
      <c r="J16" s="4" t="s">
        <v>39</v>
      </c>
      <c r="K16" s="2">
        <v>7.84</v>
      </c>
      <c r="L16" s="2">
        <v>0.88200000000000001</v>
      </c>
      <c r="O16" s="4" t="s">
        <v>1</v>
      </c>
      <c r="P16" s="2">
        <v>18.03</v>
      </c>
      <c r="Q16" s="2">
        <v>14.64</v>
      </c>
      <c r="R16" s="2">
        <v>56.38</v>
      </c>
      <c r="S16" s="2">
        <v>6.46</v>
      </c>
      <c r="T16" s="2">
        <v>4.83</v>
      </c>
      <c r="U16" s="2">
        <v>7.84</v>
      </c>
    </row>
    <row r="17" spans="1:25" ht="28.8" x14ac:dyDescent="0.3">
      <c r="A17" s="4" t="s">
        <v>3</v>
      </c>
      <c r="B17" s="4" t="s">
        <v>32</v>
      </c>
      <c r="C17" s="2">
        <v>37.1</v>
      </c>
      <c r="D17" s="2">
        <v>-0.70660000000000001</v>
      </c>
      <c r="E17" s="3">
        <v>195.35</v>
      </c>
      <c r="F17" s="3">
        <v>286.19</v>
      </c>
      <c r="O17" s="4" t="s">
        <v>2</v>
      </c>
      <c r="P17" s="2">
        <v>23.67</v>
      </c>
      <c r="Q17" s="2">
        <v>6.3</v>
      </c>
      <c r="R17" s="2">
        <v>43.05</v>
      </c>
      <c r="S17" s="2">
        <v>20.55</v>
      </c>
      <c r="T17" s="2">
        <v>9.1</v>
      </c>
      <c r="U17" s="2">
        <v>39.369999999999997</v>
      </c>
    </row>
    <row r="18" spans="1:25" ht="28.8" x14ac:dyDescent="0.3">
      <c r="O18" s="4" t="s">
        <v>3</v>
      </c>
      <c r="P18" s="2">
        <v>24.01</v>
      </c>
      <c r="Q18" s="2">
        <v>6.02</v>
      </c>
      <c r="R18" s="2">
        <v>43.44</v>
      </c>
      <c r="S18" s="2">
        <v>20.54</v>
      </c>
      <c r="T18" s="2">
        <v>9.33</v>
      </c>
      <c r="U18" s="2">
        <v>40.74</v>
      </c>
    </row>
    <row r="19" spans="1:25" x14ac:dyDescent="0.3">
      <c r="O19" s="4" t="s">
        <v>15</v>
      </c>
      <c r="P19" s="2">
        <v>26.21</v>
      </c>
      <c r="Q19" s="2">
        <v>6.11</v>
      </c>
      <c r="R19" s="2">
        <v>44.56</v>
      </c>
      <c r="S19" s="2">
        <v>21.6</v>
      </c>
      <c r="T19" s="2">
        <v>12.67</v>
      </c>
      <c r="U19" s="2">
        <v>46.11</v>
      </c>
    </row>
    <row r="20" spans="1:25" ht="28.8" x14ac:dyDescent="0.3">
      <c r="J20" s="3" t="s">
        <v>4</v>
      </c>
      <c r="K20" s="3" t="s">
        <v>41</v>
      </c>
      <c r="L20" s="3" t="s">
        <v>42</v>
      </c>
      <c r="O20" s="8" t="s">
        <v>16</v>
      </c>
      <c r="P20" s="3">
        <v>9.94</v>
      </c>
      <c r="Q20" s="2">
        <v>19.48</v>
      </c>
      <c r="R20" s="2">
        <v>14.73</v>
      </c>
      <c r="S20" s="2">
        <v>6.23</v>
      </c>
      <c r="T20" s="2">
        <v>2.92</v>
      </c>
      <c r="U20" s="2">
        <v>6.32</v>
      </c>
    </row>
    <row r="21" spans="1:25" x14ac:dyDescent="0.3">
      <c r="J21" s="2">
        <v>1</v>
      </c>
      <c r="K21" s="2">
        <v>14.64</v>
      </c>
      <c r="L21" s="3">
        <v>6.3</v>
      </c>
      <c r="O21" s="4" t="s">
        <v>76</v>
      </c>
      <c r="P21" s="2">
        <v>14.44</v>
      </c>
      <c r="Q21" s="2">
        <v>2.17</v>
      </c>
      <c r="R21" s="2">
        <v>38.22</v>
      </c>
      <c r="S21" s="2">
        <v>19.16</v>
      </c>
      <c r="T21" s="2">
        <v>4.2</v>
      </c>
      <c r="U21" s="2">
        <v>8.44</v>
      </c>
    </row>
    <row r="22" spans="1:25" x14ac:dyDescent="0.3">
      <c r="J22" s="2">
        <v>2</v>
      </c>
      <c r="K22" s="2">
        <v>56.38</v>
      </c>
      <c r="L22" s="3">
        <v>43.05</v>
      </c>
    </row>
    <row r="23" spans="1:25" x14ac:dyDescent="0.3">
      <c r="J23" s="2">
        <v>3</v>
      </c>
      <c r="K23" s="3">
        <v>6.46</v>
      </c>
      <c r="L23" s="2">
        <v>20.55</v>
      </c>
    </row>
    <row r="24" spans="1:25" x14ac:dyDescent="0.3">
      <c r="J24" s="2">
        <v>4</v>
      </c>
      <c r="K24" s="3">
        <v>4.83</v>
      </c>
      <c r="L24" s="2">
        <v>9.1</v>
      </c>
    </row>
    <row r="25" spans="1:25" x14ac:dyDescent="0.3">
      <c r="J25" s="2">
        <v>5</v>
      </c>
      <c r="K25" s="3">
        <v>7.84</v>
      </c>
      <c r="L25" s="2">
        <v>39.369999999999997</v>
      </c>
    </row>
    <row r="26" spans="1:25" ht="28.8" x14ac:dyDescent="0.3">
      <c r="R26" s="1" t="s">
        <v>0</v>
      </c>
      <c r="S26" s="1" t="s">
        <v>31</v>
      </c>
      <c r="T26" s="1" t="s">
        <v>32</v>
      </c>
      <c r="U26" s="1" t="s">
        <v>55</v>
      </c>
    </row>
    <row r="27" spans="1:25" ht="43.2" x14ac:dyDescent="0.3">
      <c r="R27" s="4" t="s">
        <v>1</v>
      </c>
      <c r="S27" s="4" t="s">
        <v>65</v>
      </c>
      <c r="T27" s="4" t="s">
        <v>66</v>
      </c>
      <c r="U27" s="4" t="s">
        <v>65</v>
      </c>
    </row>
    <row r="28" spans="1:25" ht="28.8" x14ac:dyDescent="0.3">
      <c r="B28" t="s">
        <v>48</v>
      </c>
      <c r="R28" s="4" t="s">
        <v>2</v>
      </c>
      <c r="S28" s="4" t="s">
        <v>67</v>
      </c>
      <c r="T28" s="4" t="s">
        <v>68</v>
      </c>
      <c r="U28" s="4" t="s">
        <v>68</v>
      </c>
      <c r="X28" s="4" t="s">
        <v>77</v>
      </c>
    </row>
    <row r="29" spans="1:25" ht="28.8" x14ac:dyDescent="0.3">
      <c r="A29" s="1" t="s">
        <v>0</v>
      </c>
      <c r="B29" s="3" t="s">
        <v>49</v>
      </c>
      <c r="C29" s="3" t="s">
        <v>11</v>
      </c>
      <c r="D29" s="3" t="s">
        <v>50</v>
      </c>
      <c r="G29" t="s">
        <v>43</v>
      </c>
      <c r="M29" s="1" t="s">
        <v>0</v>
      </c>
      <c r="N29" s="1" t="s">
        <v>28</v>
      </c>
      <c r="O29" s="3" t="s">
        <v>19</v>
      </c>
      <c r="R29" s="4" t="s">
        <v>3</v>
      </c>
      <c r="S29" s="4" t="s">
        <v>67</v>
      </c>
      <c r="T29" s="4" t="s">
        <v>68</v>
      </c>
      <c r="U29" s="4" t="s">
        <v>68</v>
      </c>
      <c r="X29" s="1" t="s">
        <v>78</v>
      </c>
      <c r="Y29" s="3" t="s">
        <v>79</v>
      </c>
    </row>
    <row r="30" spans="1:25" ht="28.8" x14ac:dyDescent="0.3">
      <c r="A30" s="8" t="s">
        <v>1</v>
      </c>
      <c r="B30" s="3">
        <v>15.75</v>
      </c>
      <c r="C30" s="3">
        <v>18.03</v>
      </c>
      <c r="D30" s="2" t="s">
        <v>51</v>
      </c>
      <c r="G30" s="3" t="s">
        <v>4</v>
      </c>
      <c r="H30" s="3" t="s">
        <v>44</v>
      </c>
      <c r="I30" s="3" t="s">
        <v>45</v>
      </c>
      <c r="J30" s="3" t="s">
        <v>46</v>
      </c>
      <c r="K30" s="3" t="s">
        <v>47</v>
      </c>
      <c r="M30" s="4" t="s">
        <v>1</v>
      </c>
      <c r="N30" s="4" t="s">
        <v>31</v>
      </c>
      <c r="O30" s="2">
        <v>4.45</v>
      </c>
      <c r="R30" s="4" t="s">
        <v>15</v>
      </c>
      <c r="S30" s="4" t="s">
        <v>67</v>
      </c>
      <c r="T30" s="4" t="s">
        <v>68</v>
      </c>
      <c r="U30" s="4" t="s">
        <v>68</v>
      </c>
      <c r="X30" s="4" t="s">
        <v>80</v>
      </c>
      <c r="Y30" s="3">
        <v>11.4</v>
      </c>
    </row>
    <row r="31" spans="1:25" ht="28.8" x14ac:dyDescent="0.3">
      <c r="A31" s="4" t="s">
        <v>2</v>
      </c>
      <c r="B31" s="2">
        <v>18.96</v>
      </c>
      <c r="C31" s="2">
        <v>23.67</v>
      </c>
      <c r="D31" s="2" t="s">
        <v>52</v>
      </c>
      <c r="G31" s="2">
        <v>1</v>
      </c>
      <c r="H31" s="2">
        <v>14.64</v>
      </c>
      <c r="I31" s="3">
        <v>6.3</v>
      </c>
      <c r="J31" s="3">
        <v>6.02</v>
      </c>
      <c r="K31" s="3">
        <v>6.11</v>
      </c>
      <c r="M31" s="4" t="s">
        <v>2</v>
      </c>
      <c r="N31" s="4" t="s">
        <v>31</v>
      </c>
      <c r="O31" s="2">
        <v>3.38</v>
      </c>
      <c r="R31" s="8" t="s">
        <v>16</v>
      </c>
      <c r="S31" s="4" t="s">
        <v>67</v>
      </c>
      <c r="T31" s="8" t="s">
        <v>67</v>
      </c>
      <c r="U31" s="8" t="s">
        <v>67</v>
      </c>
      <c r="X31" s="4" t="s">
        <v>59</v>
      </c>
      <c r="Y31" s="3">
        <v>14.44</v>
      </c>
    </row>
    <row r="32" spans="1:25" ht="28.8" x14ac:dyDescent="0.3">
      <c r="A32" s="4" t="s">
        <v>3</v>
      </c>
      <c r="B32" s="2">
        <v>19.27</v>
      </c>
      <c r="C32" s="2">
        <v>24.01</v>
      </c>
      <c r="D32" s="2" t="s">
        <v>53</v>
      </c>
      <c r="G32" s="2">
        <v>2</v>
      </c>
      <c r="H32" s="2">
        <v>56.38</v>
      </c>
      <c r="I32" s="3">
        <v>43.05</v>
      </c>
      <c r="J32" s="3">
        <v>43.44</v>
      </c>
      <c r="K32" s="3">
        <v>44.56</v>
      </c>
      <c r="M32" s="4" t="s">
        <v>3</v>
      </c>
      <c r="N32" s="4" t="s">
        <v>31</v>
      </c>
      <c r="O32" s="3">
        <v>2.71</v>
      </c>
      <c r="X32" s="4" t="s">
        <v>81</v>
      </c>
      <c r="Y32" s="3">
        <v>8.44</v>
      </c>
    </row>
    <row r="33" spans="1:25" x14ac:dyDescent="0.3">
      <c r="A33" s="8" t="s">
        <v>15</v>
      </c>
      <c r="B33" s="2">
        <v>21.45</v>
      </c>
      <c r="C33" s="3">
        <v>26.21</v>
      </c>
      <c r="D33" s="2" t="s">
        <v>54</v>
      </c>
      <c r="G33" s="2">
        <v>3</v>
      </c>
      <c r="H33" s="3">
        <v>6.46</v>
      </c>
      <c r="I33" s="2">
        <v>20.55</v>
      </c>
      <c r="J33" s="2">
        <v>20.54</v>
      </c>
      <c r="K33" s="2">
        <v>21.6</v>
      </c>
      <c r="M33" s="4" t="s">
        <v>15</v>
      </c>
      <c r="N33" s="4" t="s">
        <v>31</v>
      </c>
      <c r="O33" s="3">
        <v>2.92</v>
      </c>
      <c r="X33" s="4" t="s">
        <v>82</v>
      </c>
      <c r="Y33" s="3">
        <v>13.26</v>
      </c>
    </row>
    <row r="34" spans="1:25" ht="28.8" x14ac:dyDescent="0.3">
      <c r="G34" s="2">
        <v>4</v>
      </c>
      <c r="H34" s="3">
        <v>4.83</v>
      </c>
      <c r="I34" s="2">
        <v>9.1</v>
      </c>
      <c r="J34" s="2">
        <v>9.33</v>
      </c>
      <c r="K34" s="2">
        <v>12.67</v>
      </c>
      <c r="M34" s="4" t="s">
        <v>1</v>
      </c>
      <c r="N34" s="4" t="s">
        <v>32</v>
      </c>
      <c r="O34" s="3">
        <v>7.33</v>
      </c>
      <c r="X34" s="4" t="s">
        <v>83</v>
      </c>
      <c r="Y34" s="3">
        <v>0.223</v>
      </c>
    </row>
    <row r="35" spans="1:25" x14ac:dyDescent="0.3">
      <c r="G35" s="2">
        <v>5</v>
      </c>
      <c r="H35" s="3">
        <v>7.84</v>
      </c>
      <c r="I35" s="2">
        <v>39.369999999999997</v>
      </c>
      <c r="J35" s="2">
        <v>40.74</v>
      </c>
      <c r="K35" s="2">
        <v>46.11</v>
      </c>
      <c r="M35" s="4" t="s">
        <v>2</v>
      </c>
      <c r="N35" s="4" t="s">
        <v>32</v>
      </c>
      <c r="O35" s="2">
        <v>35.86</v>
      </c>
    </row>
    <row r="36" spans="1:25" ht="28.8" x14ac:dyDescent="0.3">
      <c r="M36" s="4" t="s">
        <v>3</v>
      </c>
      <c r="N36" s="4" t="s">
        <v>32</v>
      </c>
      <c r="O36" s="2">
        <v>37.1</v>
      </c>
    </row>
    <row r="37" spans="1:25" x14ac:dyDescent="0.3">
      <c r="M37" s="4" t="s">
        <v>15</v>
      </c>
      <c r="N37" s="4" t="s">
        <v>32</v>
      </c>
      <c r="O37" s="2">
        <v>40.549999999999997</v>
      </c>
    </row>
    <row r="38" spans="1:25" ht="28.8" x14ac:dyDescent="0.3">
      <c r="B38" t="s">
        <v>56</v>
      </c>
      <c r="M38" s="4" t="s">
        <v>1</v>
      </c>
      <c r="N38" s="4" t="s">
        <v>55</v>
      </c>
      <c r="O38" s="3">
        <v>18.03</v>
      </c>
    </row>
    <row r="39" spans="1:25" x14ac:dyDescent="0.3">
      <c r="B39" s="1" t="s">
        <v>0</v>
      </c>
      <c r="C39" s="3" t="s">
        <v>57</v>
      </c>
      <c r="D39" s="3" t="s">
        <v>19</v>
      </c>
      <c r="E39" s="3" t="s">
        <v>20</v>
      </c>
      <c r="G39" s="3" t="s">
        <v>75</v>
      </c>
      <c r="M39" s="4" t="s">
        <v>2</v>
      </c>
      <c r="N39" s="4" t="s">
        <v>55</v>
      </c>
      <c r="O39" s="2">
        <v>23.67</v>
      </c>
    </row>
    <row r="40" spans="1:25" ht="57.6" x14ac:dyDescent="0.3">
      <c r="B40" s="4" t="s">
        <v>1</v>
      </c>
      <c r="C40" s="2">
        <v>3.27</v>
      </c>
      <c r="D40" s="2">
        <v>4.45</v>
      </c>
      <c r="E40" s="2">
        <v>0.99619999999999997</v>
      </c>
      <c r="G40" s="1" t="s">
        <v>69</v>
      </c>
      <c r="H40" s="3" t="s">
        <v>70</v>
      </c>
      <c r="I40" s="3" t="s">
        <v>71</v>
      </c>
      <c r="J40" s="3" t="s">
        <v>72</v>
      </c>
      <c r="M40" s="4" t="s">
        <v>3</v>
      </c>
      <c r="N40" s="4" t="s">
        <v>55</v>
      </c>
      <c r="O40" s="2">
        <v>24.01</v>
      </c>
    </row>
    <row r="41" spans="1:25" x14ac:dyDescent="0.3">
      <c r="B41" s="4" t="s">
        <v>2</v>
      </c>
      <c r="C41" s="2">
        <v>2.15</v>
      </c>
      <c r="D41" s="2">
        <v>3.38</v>
      </c>
      <c r="E41" s="2">
        <v>0.99780000000000002</v>
      </c>
      <c r="G41" s="4" t="s">
        <v>73</v>
      </c>
      <c r="H41" s="3">
        <v>19.170000000000002</v>
      </c>
      <c r="I41" s="2">
        <v>31.13</v>
      </c>
      <c r="J41" s="2">
        <v>26.87</v>
      </c>
      <c r="M41" s="4" t="s">
        <v>15</v>
      </c>
      <c r="N41" s="4" t="s">
        <v>55</v>
      </c>
      <c r="O41" s="2">
        <v>26.21</v>
      </c>
    </row>
    <row r="42" spans="1:25" x14ac:dyDescent="0.3">
      <c r="B42" s="4" t="s">
        <v>3</v>
      </c>
      <c r="C42" s="2">
        <v>1.69</v>
      </c>
      <c r="D42" s="2">
        <v>2.71</v>
      </c>
      <c r="E42" s="2">
        <v>0.99860000000000004</v>
      </c>
      <c r="G42" s="4" t="s">
        <v>74</v>
      </c>
      <c r="H42" s="3">
        <v>18.510000000000002</v>
      </c>
      <c r="I42" s="2">
        <v>19.46</v>
      </c>
      <c r="J42" s="2">
        <v>24.74</v>
      </c>
    </row>
    <row r="43" spans="1:25" x14ac:dyDescent="0.3">
      <c r="B43" s="4" t="s">
        <v>15</v>
      </c>
      <c r="C43" s="2">
        <v>1.88</v>
      </c>
      <c r="D43" s="2">
        <v>2.92</v>
      </c>
      <c r="E43" s="2">
        <v>0.99839999999999995</v>
      </c>
    </row>
    <row r="44" spans="1:25" x14ac:dyDescent="0.3">
      <c r="B44" s="8" t="s">
        <v>16</v>
      </c>
      <c r="C44" s="3">
        <v>1.82</v>
      </c>
      <c r="D44" s="3">
        <v>2.79</v>
      </c>
      <c r="E44" s="3">
        <v>0.99850000000000005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model_comparison</vt:lpstr>
      <vt:lpstr>master_table</vt:lpstr>
      <vt:lpstr>fold_analysis_table</vt:lpstr>
      <vt:lpstr>Apple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2026-08-06T13:25:21Z</dcterms:modified>
</cp:coreProperties>
</file>