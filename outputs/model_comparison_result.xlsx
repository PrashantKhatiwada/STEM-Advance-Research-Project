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firstSheet="1" activeTab="3"/>
  </bookViews>
  <sheets>
    <sheet name="model_comparison" sheetId="1" r:id="rId1"/>
    <sheet name="master_table" sheetId="3" r:id="rId2"/>
    <sheet name="fold_analysis_table" sheetId="2" r:id="rId3"/>
    <sheet name="Apple" sheetId="4" r:id="rId4"/>
  </sheets>
  <calcPr calcId="152511"/>
</workbook>
</file>

<file path=xl/calcChain.xml><?xml version="1.0" encoding="utf-8"?>
<calcChain xmlns="http://schemas.openxmlformats.org/spreadsheetml/2006/main">
  <c r="F6" i="4" l="1"/>
  <c r="F5" i="4"/>
  <c r="F4" i="4"/>
  <c r="F3" i="4"/>
  <c r="F2" i="4"/>
  <c r="F3" i="3" l="1"/>
  <c r="F4" i="3"/>
  <c r="F5" i="3"/>
  <c r="F6" i="3"/>
  <c r="F2" i="3"/>
</calcChain>
</file>

<file path=xl/sharedStrings.xml><?xml version="1.0" encoding="utf-8"?>
<sst xmlns="http://schemas.openxmlformats.org/spreadsheetml/2006/main" count="61" uniqueCount="29">
  <si>
    <t>Model</t>
  </si>
  <si>
    <t>Linear Regression</t>
  </si>
  <si>
    <t>Decision Tree</t>
  </si>
  <si>
    <t>Random Forest</t>
  </si>
  <si>
    <t>Fold</t>
  </si>
  <si>
    <t>Test Period</t>
  </si>
  <si>
    <t>Sep 2015 – May 2017</t>
  </si>
  <si>
    <t>May 2017 – Jan 2019</t>
  </si>
  <si>
    <t>Jan 2019 – Aug 2020</t>
  </si>
  <si>
    <t>Sep 2020 – Apr 2022</t>
  </si>
  <si>
    <t>May 2022 – Dec 2023</t>
  </si>
  <si>
    <t>Average RMSE</t>
  </si>
  <si>
    <t>Random RMSE</t>
  </si>
  <si>
    <t>Time RMSE</t>
  </si>
  <si>
    <t>Walk RMSE</t>
  </si>
  <si>
    <t>XGBoost</t>
  </si>
  <si>
    <t>MLP</t>
  </si>
  <si>
    <t>LSTM Version</t>
  </si>
  <si>
    <t>Units</t>
  </si>
  <si>
    <t>RMSE</t>
  </si>
  <si>
    <t>R²</t>
  </si>
  <si>
    <t>Raw OHLCV</t>
  </si>
  <si>
    <t>Engineered Features</t>
  </si>
  <si>
    <t>Best RMSE</t>
  </si>
  <si>
    <t>Δ Random→Walk</t>
  </si>
  <si>
    <t>...</t>
  </si>
  <si>
    <t>Raw LSTM</t>
  </si>
  <si>
    <t>—</t>
  </si>
  <si>
    <t>All Engineered Features LSTM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</si>
</sst>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D6DEEB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0" xfId="0" applyFont="1"/>
  </cellXfs>
  <cellStyles count="1">
    <cellStyle name="Normal" xfId="0" builtinId="0"/>
  </cellStyles>
  <dxfs count="19"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right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2" name="Table2" displayName="Table2" ref="E9:H12" totalsRowShown="0" headerRowDxfId="18">
  <autoFilter ref="E9:H12"/>
  <tableColumns count="4">
    <tableColumn id="1" name="LSTM Version" dataDxfId="17"/>
    <tableColumn id="2" name="Units" dataDxfId="16"/>
    <tableColumn id="3" name="RMSE"/>
    <tableColumn id="4" name="R²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F8" totalsRowShown="0" headerRowDxfId="15" dataDxfId="14">
  <autoFilter ref="A1:F8"/>
  <tableColumns count="6">
    <tableColumn id="1" name="Model" dataDxfId="13"/>
    <tableColumn id="2" name="Random RMSE" dataDxfId="12"/>
    <tableColumn id="3" name="Time RMSE" dataDxfId="11"/>
    <tableColumn id="4" name="Walk RMSE" dataDxfId="10"/>
    <tableColumn id="5" name="Best RMSE" dataDxfId="9"/>
    <tableColumn id="6" name="Δ Random→Walk" dataDxfId="8"/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4" name="Table15" displayName="Table15" ref="A1:F8" totalsRowShown="0" headerRowDxfId="7" dataDxfId="6">
  <autoFilter ref="A1:F8"/>
  <tableColumns count="6">
    <tableColumn id="1" name="Model" dataDxfId="5"/>
    <tableColumn id="2" name="Random RMSE" dataDxfId="4"/>
    <tableColumn id="3" name="Time RMSE" dataDxfId="3"/>
    <tableColumn id="4" name="Walk RMSE" dataDxfId="2"/>
    <tableColumn id="5" name="Best RMSE" dataDxfId="1"/>
    <tableColumn id="6" name="Δ Random→Walk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sqref="A1:D6"/>
    </sheetView>
  </sheetViews>
  <sheetFormatPr defaultRowHeight="14.4" x14ac:dyDescent="0.3"/>
  <cols>
    <col min="1" max="1" width="13.33203125" customWidth="1"/>
    <col min="2" max="2" width="11.6640625" customWidth="1"/>
    <col min="3" max="3" width="13.109375" customWidth="1"/>
    <col min="4" max="4" width="20" customWidth="1"/>
    <col min="5" max="5" width="16.21875" customWidth="1"/>
    <col min="6" max="6" width="16.5546875" customWidth="1"/>
    <col min="7" max="7" width="12.6640625" customWidth="1"/>
    <col min="8" max="8" width="13.33203125" customWidth="1"/>
  </cols>
  <sheetData>
    <row r="1" spans="1:8" ht="28.8" x14ac:dyDescent="0.3">
      <c r="A1" s="1" t="s">
        <v>0</v>
      </c>
      <c r="B1" s="3" t="s">
        <v>12</v>
      </c>
      <c r="C1" s="3" t="s">
        <v>13</v>
      </c>
      <c r="D1" s="3" t="s">
        <v>14</v>
      </c>
    </row>
    <row r="2" spans="1:8" ht="28.8" x14ac:dyDescent="0.3">
      <c r="A2" s="4" t="s">
        <v>1</v>
      </c>
      <c r="B2" s="2">
        <v>8.35</v>
      </c>
      <c r="C2" s="2">
        <v>12.3</v>
      </c>
      <c r="D2" s="2">
        <v>8.69</v>
      </c>
    </row>
    <row r="3" spans="1:8" x14ac:dyDescent="0.3">
      <c r="A3" s="4" t="s">
        <v>2</v>
      </c>
      <c r="B3" s="2">
        <v>12.77</v>
      </c>
      <c r="C3" s="2">
        <v>29.23</v>
      </c>
      <c r="D3" s="2">
        <v>53.94</v>
      </c>
    </row>
    <row r="4" spans="1:8" ht="28.8" x14ac:dyDescent="0.3">
      <c r="A4" s="4" t="s">
        <v>3</v>
      </c>
      <c r="B4" s="2">
        <v>9.1300000000000008</v>
      </c>
      <c r="C4" s="2">
        <v>16.809999999999999</v>
      </c>
      <c r="D4" s="2">
        <v>48.65</v>
      </c>
    </row>
    <row r="5" spans="1:8" x14ac:dyDescent="0.3">
      <c r="A5" s="4" t="s">
        <v>15</v>
      </c>
      <c r="B5" s="2">
        <v>10</v>
      </c>
      <c r="C5" s="2">
        <v>23.82</v>
      </c>
      <c r="D5" s="2">
        <v>51.97</v>
      </c>
    </row>
    <row r="6" spans="1:8" x14ac:dyDescent="0.3">
      <c r="A6" s="4" t="s">
        <v>16</v>
      </c>
      <c r="B6" s="2">
        <v>9.1199999999999992</v>
      </c>
      <c r="C6" s="2">
        <v>30.58</v>
      </c>
      <c r="D6" s="2">
        <v>26.1</v>
      </c>
    </row>
    <row r="9" spans="1:8" x14ac:dyDescent="0.3">
      <c r="E9" s="1" t="s">
        <v>17</v>
      </c>
      <c r="F9" s="3" t="s">
        <v>18</v>
      </c>
      <c r="G9" s="3" t="s">
        <v>19</v>
      </c>
      <c r="H9" s="3" t="s">
        <v>20</v>
      </c>
    </row>
    <row r="10" spans="1:8" x14ac:dyDescent="0.3">
      <c r="E10" s="4" t="s">
        <v>21</v>
      </c>
      <c r="F10" s="2">
        <v>50</v>
      </c>
      <c r="G10" s="2">
        <v>19.940000000000001</v>
      </c>
      <c r="H10" s="2">
        <v>0.95089999999999997</v>
      </c>
    </row>
    <row r="11" spans="1:8" ht="28.8" x14ac:dyDescent="0.3">
      <c r="E11" s="4" t="s">
        <v>22</v>
      </c>
      <c r="F11" s="2">
        <v>50</v>
      </c>
      <c r="G11" s="2">
        <v>41.36</v>
      </c>
      <c r="H11" s="2">
        <v>0.78859999999999997</v>
      </c>
    </row>
    <row r="12" spans="1:8" ht="28.8" x14ac:dyDescent="0.3">
      <c r="E12" s="4" t="s">
        <v>22</v>
      </c>
      <c r="F12" s="2">
        <v>100</v>
      </c>
      <c r="G12" s="3">
        <v>29.4</v>
      </c>
      <c r="H12" s="3">
        <v>0.89319999999999999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zoomScale="80" workbookViewId="0">
      <selection activeCell="C22" sqref="C22"/>
    </sheetView>
  </sheetViews>
  <sheetFormatPr defaultRowHeight="14.4" x14ac:dyDescent="0.3"/>
  <cols>
    <col min="1" max="1" width="20.21875" customWidth="1"/>
    <col min="2" max="2" width="21.88671875" customWidth="1"/>
    <col min="3" max="3" width="13.77734375" customWidth="1"/>
    <col min="4" max="4" width="15.5546875" customWidth="1"/>
    <col min="5" max="5" width="13.33203125" customWidth="1"/>
    <col min="6" max="6" width="19.21875" customWidth="1"/>
  </cols>
  <sheetData>
    <row r="1" spans="1:6" x14ac:dyDescent="0.3">
      <c r="A1" s="1" t="s">
        <v>0</v>
      </c>
      <c r="B1" s="3" t="s">
        <v>12</v>
      </c>
      <c r="C1" s="3" t="s">
        <v>13</v>
      </c>
      <c r="D1" s="3" t="s">
        <v>14</v>
      </c>
      <c r="E1" s="3" t="s">
        <v>23</v>
      </c>
      <c r="F1" s="3" t="s">
        <v>24</v>
      </c>
    </row>
    <row r="2" spans="1:6" ht="28.8" x14ac:dyDescent="0.3">
      <c r="A2" s="4" t="s">
        <v>1</v>
      </c>
      <c r="B2" s="2">
        <v>8.6024774970882891</v>
      </c>
      <c r="C2" s="2">
        <v>12.8340994729757</v>
      </c>
      <c r="D2" s="2">
        <v>10.260938786791</v>
      </c>
      <c r="E2" s="2">
        <v>8.6024774970882891</v>
      </c>
      <c r="F2" s="2">
        <f>ABS(B2-D2)</f>
        <v>1.6584612897027107</v>
      </c>
    </row>
    <row r="3" spans="1:6" x14ac:dyDescent="0.3">
      <c r="A3" s="4" t="s">
        <v>2</v>
      </c>
      <c r="B3" s="2">
        <v>12.767838034677199</v>
      </c>
      <c r="C3" s="2">
        <v>29.230835798083699</v>
      </c>
      <c r="D3" s="2">
        <v>53.940100130441003</v>
      </c>
      <c r="E3" s="2">
        <v>12.767838034677199</v>
      </c>
      <c r="F3" s="2">
        <f t="shared" ref="F3:F6" si="0">ABS(B3-D3)</f>
        <v>41.172262095763806</v>
      </c>
    </row>
    <row r="4" spans="1:6" ht="28.8" x14ac:dyDescent="0.3">
      <c r="A4" s="4" t="s">
        <v>3</v>
      </c>
      <c r="B4" s="2">
        <v>9.1270676133805697</v>
      </c>
      <c r="C4" s="2">
        <v>16.8106414161781</v>
      </c>
      <c r="D4" s="2">
        <v>48.6558650628793</v>
      </c>
      <c r="E4" s="2">
        <v>9.1270676133805697</v>
      </c>
      <c r="F4" s="2">
        <f t="shared" si="0"/>
        <v>39.528797449498732</v>
      </c>
    </row>
    <row r="5" spans="1:6" x14ac:dyDescent="0.3">
      <c r="A5" s="4" t="s">
        <v>15</v>
      </c>
      <c r="B5" s="2">
        <v>9.4238145778730598</v>
      </c>
      <c r="C5" s="2">
        <v>23.066939177986001</v>
      </c>
      <c r="D5" s="2">
        <v>51.9654495245303</v>
      </c>
      <c r="E5" s="2">
        <v>9.4238145778730598</v>
      </c>
      <c r="F5" s="2">
        <f t="shared" si="0"/>
        <v>42.54163494665724</v>
      </c>
    </row>
    <row r="6" spans="1:6" x14ac:dyDescent="0.3">
      <c r="A6" s="4" t="s">
        <v>16</v>
      </c>
      <c r="B6" s="2">
        <v>9.1194110478356905</v>
      </c>
      <c r="C6" s="2">
        <v>30.5753313206352</v>
      </c>
      <c r="D6" s="2">
        <v>26.099956053911399</v>
      </c>
      <c r="E6" s="2" t="s">
        <v>25</v>
      </c>
      <c r="F6" s="2">
        <f t="shared" si="0"/>
        <v>16.980545006075708</v>
      </c>
    </row>
    <row r="7" spans="1:6" x14ac:dyDescent="0.3">
      <c r="A7" s="4" t="s">
        <v>26</v>
      </c>
      <c r="B7" s="2" t="s">
        <v>27</v>
      </c>
      <c r="C7" s="2">
        <v>19.940000000000001</v>
      </c>
      <c r="D7" s="6">
        <v>57.832911911225601</v>
      </c>
      <c r="E7" s="2">
        <v>19.940000000000001</v>
      </c>
      <c r="F7" s="6">
        <v>57.832911911225601</v>
      </c>
    </row>
    <row r="8" spans="1:6" ht="28.8" x14ac:dyDescent="0.3">
      <c r="A8" s="4" t="s">
        <v>28</v>
      </c>
      <c r="C8">
        <v>29.3986012905469</v>
      </c>
    </row>
    <row r="14" spans="1:6" x14ac:dyDescent="0.3">
      <c r="D14" s="5"/>
    </row>
    <row r="16" spans="1:6" x14ac:dyDescent="0.3">
      <c r="D16" s="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topLeftCell="B1" zoomScale="67" workbookViewId="0">
      <selection activeCell="C17" sqref="C17"/>
    </sheetView>
  </sheetViews>
  <sheetFormatPr defaultRowHeight="14.4" x14ac:dyDescent="0.3"/>
  <cols>
    <col min="1" max="1" width="17.109375" customWidth="1"/>
    <col min="2" max="2" width="24.21875" customWidth="1"/>
    <col min="3" max="3" width="30" customWidth="1"/>
    <col min="4" max="4" width="25.33203125" customWidth="1"/>
    <col min="5" max="5" width="26.5546875" customWidth="1"/>
  </cols>
  <sheetData>
    <row r="1" spans="1:5" x14ac:dyDescent="0.3">
      <c r="A1" s="1" t="s">
        <v>4</v>
      </c>
      <c r="B1" s="1" t="s">
        <v>5</v>
      </c>
      <c r="C1" s="3" t="s">
        <v>1</v>
      </c>
      <c r="D1" s="3" t="s">
        <v>2</v>
      </c>
      <c r="E1" s="3" t="s">
        <v>3</v>
      </c>
    </row>
    <row r="2" spans="1:5" x14ac:dyDescent="0.3">
      <c r="A2" s="4">
        <v>1</v>
      </c>
      <c r="B2" s="4" t="s">
        <v>6</v>
      </c>
      <c r="C2" s="2">
        <v>3.05</v>
      </c>
      <c r="D2" s="2">
        <v>12.8</v>
      </c>
      <c r="E2" s="2">
        <v>13.47</v>
      </c>
    </row>
    <row r="3" spans="1:5" x14ac:dyDescent="0.3">
      <c r="A3" s="4">
        <v>2</v>
      </c>
      <c r="B3" s="4" t="s">
        <v>7</v>
      </c>
      <c r="C3" s="2">
        <v>7.51</v>
      </c>
      <c r="D3" s="3">
        <v>133.54</v>
      </c>
      <c r="E3" s="3">
        <v>133.31</v>
      </c>
    </row>
    <row r="4" spans="1:5" x14ac:dyDescent="0.3">
      <c r="A4" s="4">
        <v>3</v>
      </c>
      <c r="B4" s="4" t="s">
        <v>8</v>
      </c>
      <c r="C4" s="2">
        <v>9.76</v>
      </c>
      <c r="D4" s="2">
        <v>48.05</v>
      </c>
      <c r="E4" s="2">
        <v>36.94</v>
      </c>
    </row>
    <row r="5" spans="1:5" x14ac:dyDescent="0.3">
      <c r="A5" s="4">
        <v>4</v>
      </c>
      <c r="B5" s="4" t="s">
        <v>9</v>
      </c>
      <c r="C5" s="2">
        <v>14.22</v>
      </c>
      <c r="D5" s="2">
        <v>59.95</v>
      </c>
      <c r="E5" s="2">
        <v>48.92</v>
      </c>
    </row>
    <row r="6" spans="1:5" x14ac:dyDescent="0.3">
      <c r="A6" s="4">
        <v>5</v>
      </c>
      <c r="B6" s="4" t="s">
        <v>10</v>
      </c>
      <c r="C6" s="2">
        <v>8.91</v>
      </c>
      <c r="D6" s="2">
        <v>15.36</v>
      </c>
      <c r="E6" s="2">
        <v>10.62</v>
      </c>
    </row>
    <row r="11" spans="1:5" x14ac:dyDescent="0.3">
      <c r="A11" s="1" t="s">
        <v>0</v>
      </c>
      <c r="B11" s="3" t="s">
        <v>11</v>
      </c>
    </row>
    <row r="12" spans="1:5" x14ac:dyDescent="0.3">
      <c r="A12" s="4" t="s">
        <v>1</v>
      </c>
      <c r="B12" s="2">
        <v>8.69</v>
      </c>
    </row>
    <row r="13" spans="1:5" x14ac:dyDescent="0.3">
      <c r="A13" s="4" t="s">
        <v>3</v>
      </c>
      <c r="B13" s="2">
        <v>48.65</v>
      </c>
    </row>
    <row r="14" spans="1:5" x14ac:dyDescent="0.3">
      <c r="A14" s="4" t="s">
        <v>2</v>
      </c>
      <c r="B14" s="2">
        <v>53.94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tabSelected="1" workbookViewId="0">
      <selection activeCell="C4" sqref="C4"/>
    </sheetView>
  </sheetViews>
  <sheetFormatPr defaultRowHeight="14.4" x14ac:dyDescent="0.3"/>
  <cols>
    <col min="1" max="1" width="10.88671875" bestFit="1" customWidth="1"/>
    <col min="2" max="2" width="15.44140625" customWidth="1"/>
    <col min="3" max="3" width="14.88671875" customWidth="1"/>
    <col min="4" max="4" width="14.21875" customWidth="1"/>
    <col min="5" max="5" width="13.77734375" customWidth="1"/>
    <col min="6" max="6" width="15" customWidth="1"/>
  </cols>
  <sheetData>
    <row r="1" spans="1:6" ht="43.2" x14ac:dyDescent="0.3">
      <c r="A1" s="1" t="s">
        <v>0</v>
      </c>
      <c r="B1" s="3" t="s">
        <v>12</v>
      </c>
      <c r="C1" s="3" t="s">
        <v>13</v>
      </c>
      <c r="D1" s="3" t="s">
        <v>14</v>
      </c>
      <c r="E1" s="3" t="s">
        <v>23</v>
      </c>
      <c r="F1" s="3" t="s">
        <v>24</v>
      </c>
    </row>
    <row r="2" spans="1:6" ht="28.8" x14ac:dyDescent="0.3">
      <c r="A2" s="4" t="s">
        <v>1</v>
      </c>
      <c r="B2" s="6">
        <v>4.4495586506269298</v>
      </c>
      <c r="C2" s="6">
        <v>7.3314479275857503</v>
      </c>
      <c r="D2" s="2">
        <v>10.260938786791</v>
      </c>
      <c r="E2" s="6">
        <v>4.4495586506269298</v>
      </c>
      <c r="F2" s="2">
        <f>ABS(B2-D2)</f>
        <v>5.81138013616407</v>
      </c>
    </row>
    <row r="3" spans="1:6" ht="28.8" x14ac:dyDescent="0.3">
      <c r="A3" s="4" t="s">
        <v>2</v>
      </c>
      <c r="B3" s="6">
        <v>3.3807335861675001</v>
      </c>
      <c r="C3" s="6">
        <v>35.8586877169991</v>
      </c>
      <c r="D3" s="2">
        <v>53.940100130441003</v>
      </c>
      <c r="E3" s="6">
        <v>3.3807335861675001</v>
      </c>
      <c r="F3" s="2">
        <f t="shared" ref="F3:F6" si="0">ABS(B3-D3)</f>
        <v>50.559366544273502</v>
      </c>
    </row>
    <row r="4" spans="1:6" ht="28.8" x14ac:dyDescent="0.3">
      <c r="A4" s="4" t="s">
        <v>3</v>
      </c>
      <c r="B4" s="6">
        <v>2.71393967817533</v>
      </c>
      <c r="C4" s="6">
        <v>37.102660473070898</v>
      </c>
      <c r="D4" s="2">
        <v>48.6558650628793</v>
      </c>
      <c r="E4" s="6">
        <v>2.71393967817533</v>
      </c>
      <c r="F4" s="2">
        <f t="shared" si="0"/>
        <v>45.941925384703971</v>
      </c>
    </row>
    <row r="5" spans="1:6" x14ac:dyDescent="0.3">
      <c r="A5" s="4" t="s">
        <v>15</v>
      </c>
      <c r="B5" s="2">
        <v>9.4238145778730598</v>
      </c>
      <c r="C5" s="2">
        <v>23.066939177986001</v>
      </c>
      <c r="D5" s="2">
        <v>51.9654495245303</v>
      </c>
      <c r="E5" s="2">
        <v>9.4238145778730598</v>
      </c>
      <c r="F5" s="2">
        <f t="shared" si="0"/>
        <v>42.54163494665724</v>
      </c>
    </row>
    <row r="6" spans="1:6" x14ac:dyDescent="0.3">
      <c r="A6" s="4" t="s">
        <v>16</v>
      </c>
      <c r="B6" s="2">
        <v>9.1194110478356905</v>
      </c>
      <c r="C6" s="2">
        <v>30.5753313206352</v>
      </c>
      <c r="D6" s="2">
        <v>26.099956053911399</v>
      </c>
      <c r="E6" s="2" t="s">
        <v>25</v>
      </c>
      <c r="F6" s="2">
        <f t="shared" si="0"/>
        <v>16.980545006075708</v>
      </c>
    </row>
    <row r="7" spans="1:6" ht="28.8" x14ac:dyDescent="0.3">
      <c r="A7" s="4" t="s">
        <v>26</v>
      </c>
      <c r="B7" s="2" t="s">
        <v>27</v>
      </c>
      <c r="C7" s="2">
        <v>19.940000000000001</v>
      </c>
      <c r="D7" s="6">
        <v>57.832911911225601</v>
      </c>
      <c r="E7" s="2">
        <v>19.940000000000001</v>
      </c>
      <c r="F7" s="6">
        <v>57.832911911225601</v>
      </c>
    </row>
    <row r="8" spans="1:6" ht="72" x14ac:dyDescent="0.3">
      <c r="A8" s="4" t="s">
        <v>28</v>
      </c>
      <c r="C8">
        <v>29.3986012905469</v>
      </c>
    </row>
    <row r="9" spans="1:6" x14ac:dyDescent="0.3">
      <c r="A9" s="1"/>
      <c r="B9" s="3"/>
      <c r="C9" s="3"/>
      <c r="D9" s="3"/>
      <c r="E9" s="3"/>
      <c r="F9" s="3"/>
    </row>
    <row r="10" spans="1:6" x14ac:dyDescent="0.3">
      <c r="A10" s="4"/>
      <c r="B10" s="2"/>
      <c r="C10" s="2"/>
      <c r="D10" s="2"/>
      <c r="E10" s="2"/>
      <c r="F10" s="2"/>
    </row>
    <row r="11" spans="1:6" x14ac:dyDescent="0.3">
      <c r="A11" s="4"/>
      <c r="B11" s="2"/>
      <c r="C11" s="2"/>
      <c r="D11" s="2"/>
      <c r="E11" s="2"/>
      <c r="F11" s="2"/>
    </row>
    <row r="12" spans="1:6" x14ac:dyDescent="0.3">
      <c r="A12" s="4"/>
      <c r="B12" s="2"/>
      <c r="C12" s="2"/>
      <c r="D12" s="2"/>
      <c r="E12" s="2"/>
      <c r="F12" s="2"/>
    </row>
    <row r="13" spans="1:6" x14ac:dyDescent="0.3">
      <c r="A13" s="4"/>
      <c r="B13" s="2"/>
      <c r="C13" s="2"/>
      <c r="D13" s="2"/>
      <c r="E13" s="2"/>
      <c r="F13" s="2"/>
    </row>
    <row r="14" spans="1:6" x14ac:dyDescent="0.3">
      <c r="A14" s="4"/>
      <c r="B14" s="2"/>
      <c r="C14" s="2"/>
      <c r="D14" s="2"/>
      <c r="E14" s="2"/>
      <c r="F14" s="2"/>
    </row>
    <row r="15" spans="1:6" x14ac:dyDescent="0.3">
      <c r="A15" s="4"/>
      <c r="B15" s="2"/>
      <c r="C15" s="2"/>
      <c r="D15" s="6"/>
      <c r="E15" s="2"/>
      <c r="F15" s="6"/>
    </row>
    <row r="16" spans="1:6" x14ac:dyDescent="0.3">
      <c r="A16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model_comparison</vt:lpstr>
      <vt:lpstr>master_table</vt:lpstr>
      <vt:lpstr>fold_analysis_table</vt:lpstr>
      <vt:lpstr>Apple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2026-07-28T14:05:35Z</dcterms:modified>
</cp:coreProperties>
</file>